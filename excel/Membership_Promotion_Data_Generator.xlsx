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mbership-upgrade-analysis\excel\"/>
    </mc:Choice>
  </mc:AlternateContent>
  <xr:revisionPtr revIDLastSave="0" documentId="13_ncr:1_{73AF0739-4C93-40A9-836A-0C1689563D98}" xr6:coauthVersionLast="47" xr6:coauthVersionMax="47" xr10:uidLastSave="{00000000-0000-0000-0000-000000000000}"/>
  <bookViews>
    <workbookView xWindow="-120" yWindow="-120" windowWidth="38640" windowHeight="21120" activeTab="1" xr2:uid="{6B03B8C1-DC27-4636-88CC-EEB309F7D0E2}"/>
  </bookViews>
  <sheets>
    <sheet name="README" sheetId="1" r:id="rId1"/>
    <sheet name="Data_Generator" sheetId="2" r:id="rId2"/>
    <sheet name="Looku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2" l="1"/>
  <c r="E5" i="2"/>
  <c r="G5" i="2"/>
  <c r="H5" i="2"/>
  <c r="I5" i="2" s="1"/>
  <c r="C6" i="2"/>
  <c r="E6" i="2"/>
  <c r="G6" i="2"/>
  <c r="H6" i="2"/>
  <c r="I6" i="2" s="1"/>
  <c r="C7" i="2"/>
  <c r="E7" i="2"/>
  <c r="G7" i="2"/>
  <c r="H7" i="2"/>
  <c r="I7" i="2" s="1"/>
  <c r="C8" i="2"/>
  <c r="E8" i="2"/>
  <c r="G8" i="2"/>
  <c r="H8" i="2"/>
  <c r="I8" i="2" s="1"/>
  <c r="C9" i="2"/>
  <c r="E9" i="2"/>
  <c r="G9" i="2"/>
  <c r="H9" i="2"/>
  <c r="I9" i="2" s="1"/>
  <c r="C10" i="2"/>
  <c r="E10" i="2"/>
  <c r="J10" i="2" s="1"/>
  <c r="K10" i="2" s="1" a="1"/>
  <c r="K10" i="2" s="1"/>
  <c r="G10" i="2"/>
  <c r="H10" i="2"/>
  <c r="I10" i="2" s="1"/>
  <c r="C11" i="2"/>
  <c r="E11" i="2"/>
  <c r="G11" i="2"/>
  <c r="H11" i="2"/>
  <c r="I11" i="2" s="1"/>
  <c r="C12" i="2"/>
  <c r="E12" i="2"/>
  <c r="G12" i="2"/>
  <c r="H12" i="2"/>
  <c r="I12" i="2" s="1"/>
  <c r="C13" i="2"/>
  <c r="E13" i="2"/>
  <c r="G13" i="2"/>
  <c r="H13" i="2"/>
  <c r="I13" i="2" s="1"/>
  <c r="C14" i="2"/>
  <c r="E14" i="2"/>
  <c r="G14" i="2"/>
  <c r="H14" i="2"/>
  <c r="I14" i="2" s="1"/>
  <c r="C15" i="2"/>
  <c r="E15" i="2"/>
  <c r="G15" i="2"/>
  <c r="H15" i="2"/>
  <c r="I15" i="2" s="1"/>
  <c r="C16" i="2"/>
  <c r="E16" i="2"/>
  <c r="G16" i="2"/>
  <c r="H16" i="2"/>
  <c r="I16" i="2" s="1"/>
  <c r="C17" i="2"/>
  <c r="E17" i="2"/>
  <c r="G17" i="2"/>
  <c r="H17" i="2"/>
  <c r="I17" i="2" s="1"/>
  <c r="C18" i="2"/>
  <c r="E18" i="2"/>
  <c r="G18" i="2"/>
  <c r="H18" i="2"/>
  <c r="I18" i="2" s="1"/>
  <c r="C19" i="2"/>
  <c r="E19" i="2"/>
  <c r="G19" i="2"/>
  <c r="H19" i="2"/>
  <c r="I19" i="2" s="1"/>
  <c r="C20" i="2"/>
  <c r="E20" i="2"/>
  <c r="G20" i="2"/>
  <c r="H20" i="2"/>
  <c r="I20" i="2" s="1"/>
  <c r="C21" i="2"/>
  <c r="E21" i="2"/>
  <c r="G21" i="2"/>
  <c r="H21" i="2"/>
  <c r="I21" i="2" s="1"/>
  <c r="C22" i="2"/>
  <c r="E22" i="2"/>
  <c r="G22" i="2"/>
  <c r="H22" i="2"/>
  <c r="I22" i="2" s="1"/>
  <c r="C23" i="2"/>
  <c r="E23" i="2"/>
  <c r="G23" i="2"/>
  <c r="H23" i="2"/>
  <c r="I23" i="2" s="1"/>
  <c r="L23" i="2" l="1"/>
  <c r="L19" i="2"/>
  <c r="L15" i="2"/>
  <c r="L11" i="2"/>
  <c r="L7" i="2"/>
  <c r="L22" i="2"/>
  <c r="L18" i="2"/>
  <c r="L14" i="2"/>
  <c r="L10" i="2"/>
  <c r="L6" i="2"/>
  <c r="L21" i="2"/>
  <c r="L17" i="2"/>
  <c r="L13" i="2"/>
  <c r="L9" i="2"/>
  <c r="L5" i="2"/>
  <c r="L20" i="2"/>
  <c r="L16" i="2"/>
  <c r="L12" i="2"/>
  <c r="L8" i="2"/>
  <c r="F20" i="2"/>
  <c r="J20" i="2" s="1"/>
  <c r="K20" i="2" s="1" a="1"/>
  <c r="K20" i="2" s="1"/>
  <c r="F16" i="2"/>
  <c r="J16" i="2" s="1"/>
  <c r="K16" i="2" s="1" a="1"/>
  <c r="K16" i="2" s="1"/>
  <c r="F12" i="2"/>
  <c r="J12" i="2" s="1"/>
  <c r="K12" i="2" s="1" a="1"/>
  <c r="K12" i="2" s="1"/>
  <c r="F8" i="2"/>
  <c r="J8" i="2" s="1"/>
  <c r="K8" i="2" s="1" a="1"/>
  <c r="K8" i="2" s="1"/>
  <c r="F23" i="2"/>
  <c r="J23" i="2" s="1"/>
  <c r="K23" i="2" s="1" a="1"/>
  <c r="K23" i="2" s="1"/>
  <c r="F19" i="2"/>
  <c r="J19" i="2" s="1"/>
  <c r="K19" i="2" s="1" a="1"/>
  <c r="K19" i="2" s="1"/>
  <c r="F15" i="2"/>
  <c r="J15" i="2" s="1"/>
  <c r="K15" i="2" s="1" a="1"/>
  <c r="K15" i="2" s="1"/>
  <c r="F11" i="2"/>
  <c r="J11" i="2" s="1"/>
  <c r="K11" i="2" s="1" a="1"/>
  <c r="K11" i="2" s="1"/>
  <c r="F7" i="2"/>
  <c r="J7" i="2" s="1"/>
  <c r="K7" i="2" s="1" a="1"/>
  <c r="K7" i="2" s="1"/>
  <c r="F22" i="2"/>
  <c r="J22" i="2" s="1"/>
  <c r="K22" i="2" s="1" a="1"/>
  <c r="K22" i="2" s="1"/>
  <c r="F14" i="2"/>
  <c r="J14" i="2" s="1"/>
  <c r="K14" i="2" s="1" a="1"/>
  <c r="K14" i="2" s="1"/>
  <c r="F6" i="2"/>
  <c r="J6" i="2" s="1"/>
  <c r="K6" i="2" s="1" a="1"/>
  <c r="K6" i="2" s="1"/>
  <c r="F21" i="2"/>
  <c r="J21" i="2" s="1"/>
  <c r="K21" i="2" s="1" a="1"/>
  <c r="K21" i="2" s="1"/>
  <c r="F17" i="2"/>
  <c r="J17" i="2" s="1"/>
  <c r="K17" i="2" s="1" a="1"/>
  <c r="K17" i="2" s="1"/>
  <c r="F13" i="2"/>
  <c r="J13" i="2" s="1"/>
  <c r="K13" i="2" s="1" a="1"/>
  <c r="K13" i="2" s="1"/>
  <c r="F9" i="2"/>
  <c r="J9" i="2" s="1"/>
  <c r="K9" i="2" s="1" a="1"/>
  <c r="K9" i="2" s="1"/>
  <c r="F5" i="2"/>
  <c r="J5" i="2" s="1"/>
  <c r="K5" i="2" s="1" a="1"/>
  <c r="K5" i="2" s="1"/>
  <c r="F10" i="2"/>
  <c r="F18" i="2"/>
  <c r="J18" i="2" s="1"/>
  <c r="K18" i="2" s="1" a="1"/>
  <c r="K1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<sst xmlns="http://schemas.openxmlformats.org/spreadsheetml/2006/main" count="120" uniqueCount="86">
  <si>
    <t>Spend20_Save10</t>
  </si>
  <si>
    <t>Upgrade_Opportunity</t>
  </si>
  <si>
    <t>Refusal_Reason</t>
  </si>
  <si>
    <t>Sales_Outcome</t>
  </si>
  <si>
    <t>Group_Size</t>
  </si>
  <si>
    <t>Shopper_Type</t>
  </si>
  <si>
    <t>Age_Group</t>
  </si>
  <si>
    <t>Net_Upgrade_Cost</t>
  </si>
  <si>
    <t>Promotion_Eligible</t>
  </si>
  <si>
    <t>Promotion_Type</t>
  </si>
  <si>
    <t>Upgrade_Fee</t>
  </si>
  <si>
    <t>Basket_Amount</t>
  </si>
  <si>
    <t>Date</t>
  </si>
  <si>
    <t>Description</t>
  </si>
  <si>
    <t>No_Promotion</t>
  </si>
  <si>
    <t>Spend40_Save20</t>
  </si>
  <si>
    <t>Basket Below Promotion Threshold</t>
  </si>
  <si>
    <t>Basket total does not meet the minimum requirement for the promotion.</t>
  </si>
  <si>
    <t>Infrequent Shopper</t>
  </si>
  <si>
    <t>Price Concern</t>
  </si>
  <si>
    <t>Member feels the upgrade cost is too expensive.</t>
  </si>
  <si>
    <t>Not Account Owner</t>
  </si>
  <si>
    <t>Member is not the primary account holder and cannot upgrade the membership.</t>
  </si>
  <si>
    <t>Language Barrier</t>
  </si>
  <si>
    <t>Communication difficulties prevented a successful membership presentation.</t>
  </si>
  <si>
    <t>Doesn't Want Renewal Fee</t>
  </si>
  <si>
    <t>Other</t>
  </si>
  <si>
    <t>Any refusal reason not covered by the predefined categories.</t>
  </si>
  <si>
    <t>Individual</t>
  </si>
  <si>
    <t>Couple</t>
  </si>
  <si>
    <t>Family</t>
  </si>
  <si>
    <t>Business</t>
  </si>
  <si>
    <t>18-29</t>
  </si>
  <si>
    <t>30-44</t>
  </si>
  <si>
    <t>45-59</t>
  </si>
  <si>
    <t>60+</t>
  </si>
  <si>
    <t>Accepted</t>
  </si>
  <si>
    <t>Declined</t>
  </si>
  <si>
    <t>Not_Presented</t>
  </si>
  <si>
    <t>High</t>
  </si>
  <si>
    <t>Medium</t>
  </si>
  <si>
    <t>Low</t>
  </si>
  <si>
    <t>Simulation Data Generator</t>
  </si>
  <si>
    <t>Purpose</t>
  </si>
  <si>
    <t>Workbook Structure</t>
  </si>
  <si>
    <t>Worksheet</t>
  </si>
  <si>
    <t>README</t>
  </si>
  <si>
    <t>Data_Generator</t>
  </si>
  <si>
    <t>Lookups</t>
  </si>
  <si>
    <t>Project</t>
  </si>
  <si>
    <t>Workbook</t>
  </si>
  <si>
    <t>Contains</t>
  </si>
  <si>
    <t>Last Updated</t>
  </si>
  <si>
    <t>Workbook Overview</t>
  </si>
  <si>
    <t>Membership Upgrade Promotion Analysis</t>
  </si>
  <si>
    <t>Output</t>
  </si>
  <si>
    <t>July 2026</t>
  </si>
  <si>
    <t>Using Instructions</t>
  </si>
  <si>
    <t>2. Review the embedded formulas and sample records.</t>
  </si>
  <si>
    <t>3. Extend the formulas to generate additional simulated data.</t>
  </si>
  <si>
    <r>
      <t xml:space="preserve">4. Copy and paste the generated values into the </t>
    </r>
    <r>
      <rPr>
        <b/>
        <sz val="11"/>
        <rFont val="Aptos Narrow"/>
        <family val="2"/>
        <scheme val="minor"/>
      </rPr>
      <t>Analysis</t>
    </r>
    <r>
      <rPr>
        <sz val="11"/>
        <rFont val="Aptos Narrow"/>
        <family val="2"/>
        <scheme val="minor"/>
      </rPr>
      <t xml:space="preserve"> workbook.</t>
    </r>
  </si>
  <si>
    <r>
      <t>1. Open the</t>
    </r>
    <r>
      <rPr>
        <b/>
        <sz val="11"/>
        <rFont val="Aptos Narrow"/>
        <family val="2"/>
        <scheme val="minor"/>
      </rPr>
      <t xml:space="preserve"> Data_Generator</t>
    </r>
    <r>
      <rPr>
        <sz val="11"/>
        <rFont val="Aptos Narrow"/>
        <family val="2"/>
        <scheme val="minor"/>
      </rPr>
      <t xml:space="preserve"> worksheet.</t>
    </r>
  </si>
  <si>
    <t>Important Notes</t>
  </si>
  <si>
    <t xml:space="preserve"> The simulation is based on realistic business scenarios and industry practices; it does not represent actual business data.</t>
  </si>
  <si>
    <t xml:space="preserve"> All data in this workbook is simulated and generated for educational and portfolio purposes only.</t>
  </si>
  <si>
    <t xml:space="preserve"> Randomized values may recalculate when the workbook is edited or refreshed.</t>
  </si>
  <si>
    <t>Generates realistic simulated membership transaction data using embedded Excel formulas.</t>
  </si>
  <si>
    <r>
      <t xml:space="preserve">Formula-generated records ready for export to the </t>
    </r>
    <r>
      <rPr>
        <b/>
        <sz val="11"/>
        <color theme="1"/>
        <rFont val="Aptos Narrow"/>
        <family val="2"/>
        <scheme val="minor"/>
      </rPr>
      <t>Analysis</t>
    </r>
    <r>
      <rPr>
        <sz val="11"/>
        <color theme="1"/>
        <rFont val="Aptos Narrow"/>
        <family val="2"/>
        <scheme val="minor"/>
      </rPr>
      <t xml:space="preserve"> workbook.</t>
    </r>
  </si>
  <si>
    <t>Provides workbook overview and usage instructions.</t>
  </si>
  <si>
    <t>Generates simulated records using embedded Excel formulas.</t>
  </si>
  <si>
    <t xml:space="preserve"> No real member or confidential information is included.</t>
  </si>
  <si>
    <t>Stores lookup tables, validation lists, and simulation rules.</t>
  </si>
  <si>
    <t>20 formula-driven sample records, lookup tables, validation lists, and simulation rules.</t>
  </si>
  <si>
    <t>Formula-driven Sample Records (20 Records)</t>
  </si>
  <si>
    <t>Probabilty</t>
  </si>
  <si>
    <t>Member does not shop frequently enough to justify upgrading.</t>
  </si>
  <si>
    <t>Member does not fully understand the benefits of the upgraded membership.</t>
  </si>
  <si>
    <t>Spend $20+, Save $10 on Membership Upgrade</t>
  </si>
  <si>
    <t>No promotion available</t>
  </si>
  <si>
    <t>Spend $40+, Save $20 on Membership Upgrade</t>
  </si>
  <si>
    <t>Yes</t>
  </si>
  <si>
    <t>No</t>
  </si>
  <si>
    <t>N/A</t>
  </si>
  <si>
    <t>4+</t>
  </si>
  <si>
    <t>Member is concerned about paying the full Premium renewal fee at the next renewal.</t>
  </si>
  <si>
    <t>Lack of Premium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</si>
</sst>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"/>
    <numFmt numFmtId="166" formatCode="\•\ @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0"/>
      <color theme="4"/>
      <name val="Aptos Narrow"/>
      <family val="2"/>
      <scheme val="minor"/>
    </font>
    <font>
      <b/>
      <i/>
      <sz val="12"/>
      <color theme="4"/>
      <name val="Aptos Narrow"/>
      <family val="2"/>
      <scheme val="minor"/>
    </font>
    <font>
      <b/>
      <sz val="18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164" fontId="6" fillId="0" borderId="0" xfId="0" applyNumberFormat="1" applyFont="1" applyAlignment="1">
      <alignment horizontal="left"/>
    </xf>
    <xf numFmtId="0" fontId="1" fillId="3" borderId="5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10" xfId="0" applyBorder="1" applyAlignment="1">
      <alignment horizontal="left" vertical="center"/>
    </xf>
    <xf numFmtId="2" fontId="7" fillId="0" borderId="9" xfId="0" applyNumberFormat="1" applyFont="1" applyBorder="1" applyAlignment="1">
      <alignment horizontal="left" vertical="center" wrapText="1"/>
    </xf>
    <xf numFmtId="165" fontId="11" fillId="0" borderId="0" xfId="0" applyNumberFormat="1" applyFont="1" applyAlignment="1">
      <alignment horizontal="left" vertical="center"/>
    </xf>
    <xf numFmtId="165" fontId="12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center" vertical="top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6" fillId="0" borderId="3" xfId="0" applyNumberFormat="1" applyFont="1" applyBorder="1" applyAlignment="1">
      <alignment horizontal="left"/>
    </xf>
    <xf numFmtId="166" fontId="0" fillId="0" borderId="0" xfId="0" applyNumberFormat="1" applyAlignment="1">
      <alignment horizontal="left"/>
    </xf>
    <xf numFmtId="0" fontId="7" fillId="0" borderId="0" xfId="0" applyFont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7" fillId="0" borderId="4" xfId="0" applyFont="1" applyBorder="1" applyAlignment="1">
      <alignment horizontal="left" vertical="center" wrapText="1"/>
    </xf>
    <xf numFmtId="164" fontId="9" fillId="0" borderId="0" xfId="0" applyNumberFormat="1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15"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5" formatCode="yyyy\-mm\-dd"/>
      <alignment horizontal="center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B7DA9"/>
      <color rgb="FF2093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7B844-41B4-47D9-B058-B3FA177028F4}" name="Transaction3" displayName="Transaction3" ref="A4:L23" totalsRowShown="0" headerRowDxfId="14" headerRowBorderDxfId="13" tableBorderDxfId="12">
  <autoFilter ref="A4:L23" xr:uid="{B255E507-6219-4125-80FC-BF8556FE6E68}"/>
  <tableColumns count="12">
    <tableColumn id="1" xr3:uid="{E8DBE113-1CD0-41A5-BFD6-DD770539AED8}" name="Date" dataDxfId="11"/>
    <tableColumn id="2" xr3:uid="{067C1C4F-A990-4C0F-BA06-EE37ADF12A94}" name="Basket_Amount" dataDxfId="10"/>
    <tableColumn id="12" xr3:uid="{BFB3C6DF-5B81-4E82-9718-DC6860754560}" name="Upgrade_Fee" dataDxfId="9"/>
    <tableColumn id="3" xr3:uid="{3902FB2A-0E6B-44A5-ADEB-7937CFAE8B48}" name="Promotion_Type" dataDxfId="8"/>
    <tableColumn id="13" xr3:uid="{BCBCCA81-5979-4469-B44D-E5F7670BD758}" name="Promotion_Eligible" dataDxfId="7">
      <calculatedColumnFormula>IF(D5="No_Promotion","N/A",IF(D5="Spend20_Save10",IF(B5&gt;=20,"Yes","No"),IF(D5="Spend40_Save20",IF(B5&gt;=40,"Yes","No"),"")))</calculatedColumnFormula>
    </tableColumn>
    <tableColumn id="4" xr3:uid="{24C0193B-B8B9-4AC1-AAEB-278D3898AEC2}" name="Net_Upgrade_Cost" dataDxfId="6">
      <calculatedColumnFormula>IF(E5="No",C5,
IF(D5="Spend20_Save10",C5-10,
IF(D5="Spend40_Save20",C5-20,
C5)))</calculatedColumnFormula>
    </tableColumn>
    <tableColumn id="5" xr3:uid="{A9355966-D3B4-4027-B5D8-EF6F84B0CDF4}" name="Age_Group" dataDxfId="5">
      <calculatedColumnFormula>_xlfn.LET(
_xlpm.r,RAND(),
IF(_xlpm.r&lt;=0.2,"18-29",
IF(_xlpm.r&lt;=0.55,"30-44",
IF(_xlpm.r&lt;=0.85,"45-59",
"60+"))))</calculatedColumnFormula>
    </tableColumn>
    <tableColumn id="6" xr3:uid="{D5E917F4-2111-4FCF-81B4-DFD31D14C0F5}" name="Shopper_Type" dataDxfId="4">
      <calculatedColumnFormula>_xlfn.LET(
_xlpm.r,RAND(),
IF(B5&lt;30,
    IF(_xlpm.r&lt;0.8,"Individual",
        IF(_xlpm.r&lt;0.95,"Couple","Family")),
IF(B5&lt;60,
    IF(_xlpm.r&lt;0.5,"Individual",
        IF(_xlpm.r&lt;0.85,"Couple","Family")),
IF(B5&lt;100,
    IF(_xlpm.r&lt;0.2,"Individual",
        IF(_xlpm.r&lt;0.6,"Couple",
            IF(_xlpm.r&lt;0.95,"Family","Business"))),
IF(B5&lt;200,
    IF(_xlpm.r&lt;0.1,"Couple",
        IF(_xlpm.r&lt;0.8,"Family","Business")),
    IF(_xlpm.r&lt;0.7,"Business","Family")
)))))</calculatedColumnFormula>
    </tableColumn>
    <tableColumn id="7" xr3:uid="{5A741E43-7B3F-4F54-AA73-054DE614209D}" name="Group_Size" dataDxfId="3">
      <calculatedColumnFormula>IF(H5="Individual",1,
IF(H5="Couple",2,
IF(H5="Family",
IF(RAND()&lt;0.6,3,"4+"),
CHOOSE(MATCH(RAND(),{0,0.5,0.8},1),1,2,3))))</calculatedColumnFormula>
    </tableColumn>
    <tableColumn id="8" xr3:uid="{6E5D064A-1C49-4AB7-AA56-E254A33E329C}" name="Sales_Outcome" dataDxfId="2">
      <calculatedColumnFormula>IF(E5="No","Not_Presented",
IF(RAND()&lt;
MIN(0.85,
MAX(0.15,
0.35
+IF(B5&lt;50,-0.1,IF(B5&lt;100,0,IF(B5&lt;200,0.1,0.2)))
+IF(F5&lt;0,0.15,IF(F5&lt;15,0.1,IF(F5&gt;40,-0.1,0)))
+IF(D5="Spend40_Save20",0.1,IF(D5="Spend20_Save10",0.05,0))
)),
"Accepted","Declined"))</calculatedColumnFormula>
    </tableColumn>
    <tableColumn id="10" xr3:uid="{37124342-8089-4477-A80A-C8305EF353A9}" name="Refusal_Reason" dataDxfId="1">
      <calculatedColumnFormula array="1">IF(J5&lt;&gt;"Declined","N/A",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IF(E5="Yes",_xlpm.Reasons&lt;&gt;"Basket Below Promotion Threshold",TRUE)*
IF(F5&lt;=1,_xlpm.Reasons&lt;&gt;"Price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calculatedColumnFormula>
    </tableColumn>
    <tableColumn id="14" xr3:uid="{092FDD2C-2BA9-467C-A297-D3C8EC2ADD03}" name="Upgrade_Opportunity" dataDxfId="0">
      <calculatedColumnFormula>_xlfn.LET(
_xlpm.Score,
IF(B5&gt;=100,2,IF(B5&gt;=50,1,0))
+IF(C5&lt;=20,2,IF(C5&lt;=40,1,0))
+IF(AND(D5&lt;&gt;"No_Promotion",E5="Yes"),1,0),
IF(_xlpm.Score&gt;=4,"High",IF(_xlpm.Score&gt;=2,"Medium","Low"))
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AFEE-C399-4243-91FE-9D13A915BE64}">
  <dimension ref="B2:K61"/>
  <sheetViews>
    <sheetView showGridLines="0" zoomScale="145" zoomScaleNormal="145" workbookViewId="0">
      <selection activeCell="E13" sqref="E13"/>
    </sheetView>
  </sheetViews>
  <sheetFormatPr defaultRowHeight="15" x14ac:dyDescent="0.25"/>
  <cols>
    <col min="1" max="1" width="9.140625" customWidth="1"/>
    <col min="2" max="2" width="22.140625" customWidth="1"/>
    <col min="3" max="9" width="11.7109375" customWidth="1"/>
  </cols>
  <sheetData>
    <row r="2" spans="2:11" ht="26.25" x14ac:dyDescent="0.4">
      <c r="B2" s="46" t="s">
        <v>54</v>
      </c>
      <c r="C2" s="46"/>
      <c r="D2" s="46"/>
      <c r="E2" s="46"/>
      <c r="F2" s="46"/>
      <c r="G2" s="46"/>
      <c r="H2" s="46"/>
      <c r="I2" s="46"/>
    </row>
    <row r="3" spans="2:11" ht="15" customHeight="1" x14ac:dyDescent="0.25">
      <c r="B3" s="49" t="s">
        <v>42</v>
      </c>
      <c r="C3" s="49"/>
      <c r="D3" s="49"/>
      <c r="E3" s="49"/>
      <c r="F3" s="49"/>
      <c r="G3" s="49"/>
      <c r="H3" s="49"/>
      <c r="I3" s="49"/>
    </row>
    <row r="4" spans="2:11" ht="15" customHeight="1" x14ac:dyDescent="0.25">
      <c r="B4" s="22"/>
      <c r="C4" s="22"/>
      <c r="D4" s="22"/>
      <c r="E4" s="22"/>
      <c r="F4" s="22"/>
      <c r="G4" s="22"/>
      <c r="H4" s="22"/>
      <c r="I4" s="22"/>
    </row>
    <row r="5" spans="2:11" x14ac:dyDescent="0.25">
      <c r="B5" s="1"/>
      <c r="C5" s="1"/>
      <c r="D5" s="1"/>
      <c r="E5" s="1"/>
      <c r="F5" s="1"/>
      <c r="G5" s="1"/>
      <c r="H5" s="1"/>
      <c r="I5" s="1"/>
    </row>
    <row r="6" spans="2:11" ht="19.5" thickBot="1" x14ac:dyDescent="0.35">
      <c r="B6" s="38" t="s">
        <v>53</v>
      </c>
      <c r="C6" s="38"/>
      <c r="D6" s="38"/>
      <c r="E6" s="38"/>
      <c r="F6" s="38"/>
      <c r="G6" s="38"/>
      <c r="H6" s="38"/>
      <c r="I6" s="38"/>
    </row>
    <row r="7" spans="2:11" ht="15" customHeight="1" x14ac:dyDescent="0.25">
      <c r="B7" s="18" t="s">
        <v>50</v>
      </c>
      <c r="C7" s="48" t="s">
        <v>42</v>
      </c>
      <c r="D7" s="48"/>
      <c r="E7" s="48"/>
      <c r="F7" s="48"/>
      <c r="G7" s="48"/>
      <c r="H7" s="48"/>
      <c r="I7" s="48"/>
      <c r="J7" s="14"/>
    </row>
    <row r="8" spans="2:11" ht="15" customHeight="1" x14ac:dyDescent="0.25">
      <c r="B8" s="18" t="s">
        <v>43</v>
      </c>
      <c r="C8" s="47" t="s">
        <v>66</v>
      </c>
      <c r="D8" s="47"/>
      <c r="E8" s="47"/>
      <c r="F8" s="47"/>
      <c r="G8" s="47"/>
      <c r="H8" s="47"/>
      <c r="I8" s="47"/>
      <c r="J8" s="47"/>
      <c r="K8" s="23"/>
    </row>
    <row r="9" spans="2:11" x14ac:dyDescent="0.25">
      <c r="B9" s="18" t="s">
        <v>49</v>
      </c>
      <c r="C9" s="47" t="s">
        <v>54</v>
      </c>
      <c r="D9" s="47"/>
      <c r="E9" s="47"/>
      <c r="F9" s="47"/>
      <c r="G9" s="47"/>
      <c r="H9" s="47"/>
      <c r="I9" s="47"/>
      <c r="J9" s="47"/>
    </row>
    <row r="10" spans="2:11" x14ac:dyDescent="0.25">
      <c r="B10" s="18" t="s">
        <v>51</v>
      </c>
      <c r="C10" s="47" t="s">
        <v>72</v>
      </c>
      <c r="D10" s="47"/>
      <c r="E10" s="47"/>
      <c r="F10" s="47"/>
      <c r="G10" s="47"/>
      <c r="H10" s="47"/>
      <c r="I10" s="47"/>
      <c r="J10" s="47"/>
    </row>
    <row r="11" spans="2:11" x14ac:dyDescent="0.25">
      <c r="B11" s="18" t="s">
        <v>55</v>
      </c>
      <c r="C11" s="47" t="s">
        <v>67</v>
      </c>
      <c r="D11" s="47"/>
      <c r="E11" s="47"/>
      <c r="F11" s="47"/>
      <c r="G11" s="47"/>
      <c r="H11" s="47"/>
      <c r="I11" s="47"/>
      <c r="J11" s="47"/>
    </row>
    <row r="12" spans="2:11" ht="15" customHeight="1" x14ac:dyDescent="0.25">
      <c r="B12" s="18" t="s">
        <v>52</v>
      </c>
      <c r="C12" s="50" t="s">
        <v>56</v>
      </c>
      <c r="D12" s="50"/>
      <c r="E12" s="50"/>
      <c r="F12" s="50"/>
      <c r="G12" s="50"/>
      <c r="H12" s="50"/>
      <c r="I12" s="50"/>
      <c r="J12" s="50"/>
    </row>
    <row r="13" spans="2:11" ht="15" customHeight="1" x14ac:dyDescent="0.25">
      <c r="B13" s="18"/>
      <c r="C13" s="19"/>
      <c r="D13" s="19"/>
      <c r="E13" s="19"/>
      <c r="F13" s="19"/>
      <c r="G13" s="19"/>
      <c r="H13" s="19"/>
      <c r="I13" s="19"/>
      <c r="J13" s="19"/>
    </row>
    <row r="14" spans="2:11" x14ac:dyDescent="0.25">
      <c r="B14" s="18"/>
      <c r="C14" s="19"/>
      <c r="D14" s="19"/>
      <c r="E14" s="19"/>
      <c r="F14" s="19"/>
      <c r="G14" s="19"/>
      <c r="H14" s="19"/>
      <c r="I14" s="19"/>
      <c r="J14" s="19"/>
    </row>
    <row r="15" spans="2:11" ht="19.5" thickBot="1" x14ac:dyDescent="0.35">
      <c r="B15" s="38" t="s">
        <v>44</v>
      </c>
      <c r="C15" s="38"/>
      <c r="D15" s="38"/>
      <c r="E15" s="38"/>
      <c r="F15" s="38"/>
      <c r="G15" s="38"/>
      <c r="H15" s="38"/>
      <c r="I15" s="38"/>
    </row>
    <row r="16" spans="2:11" ht="3" customHeight="1" x14ac:dyDescent="0.3">
      <c r="B16" s="20"/>
      <c r="C16" s="20"/>
      <c r="D16" s="20"/>
      <c r="E16" s="20"/>
      <c r="F16" s="20"/>
      <c r="G16" s="20"/>
      <c r="H16" s="20"/>
      <c r="I16" s="20"/>
    </row>
    <row r="17" spans="2:10" x14ac:dyDescent="0.25">
      <c r="B17" s="21" t="s">
        <v>45</v>
      </c>
      <c r="C17" s="41" t="s">
        <v>43</v>
      </c>
      <c r="D17" s="41"/>
      <c r="E17" s="41"/>
      <c r="F17" s="41"/>
      <c r="G17" s="41"/>
      <c r="H17" s="41"/>
      <c r="I17" s="42"/>
    </row>
    <row r="18" spans="2:10" ht="15" customHeight="1" x14ac:dyDescent="0.25">
      <c r="B18" s="24" t="s">
        <v>46</v>
      </c>
      <c r="C18" s="43" t="s">
        <v>68</v>
      </c>
      <c r="D18" s="43"/>
      <c r="E18" s="43"/>
      <c r="F18" s="43"/>
      <c r="G18" s="43"/>
      <c r="H18" s="43"/>
      <c r="I18" s="44"/>
    </row>
    <row r="19" spans="2:10" ht="15" customHeight="1" x14ac:dyDescent="0.25">
      <c r="B19" s="24" t="s">
        <v>47</v>
      </c>
      <c r="C19" s="43" t="s">
        <v>69</v>
      </c>
      <c r="D19" s="43"/>
      <c r="E19" s="43"/>
      <c r="F19" s="43"/>
      <c r="G19" s="43"/>
      <c r="H19" s="43"/>
      <c r="I19" s="44"/>
    </row>
    <row r="20" spans="2:10" ht="15" customHeight="1" x14ac:dyDescent="0.25">
      <c r="B20" s="25" t="s">
        <v>48</v>
      </c>
      <c r="C20" s="43" t="s">
        <v>71</v>
      </c>
      <c r="D20" s="43"/>
      <c r="E20" s="43"/>
      <c r="F20" s="43"/>
      <c r="G20" s="43"/>
      <c r="H20" s="43"/>
      <c r="I20" s="44"/>
    </row>
    <row r="21" spans="2:10" ht="15" customHeight="1" x14ac:dyDescent="0.25">
      <c r="B21" s="18"/>
      <c r="C21" s="13"/>
      <c r="D21" s="13"/>
      <c r="E21" s="13"/>
      <c r="F21" s="13"/>
      <c r="G21" s="13"/>
      <c r="H21" s="13"/>
      <c r="I21" s="13"/>
    </row>
    <row r="22" spans="2:10" x14ac:dyDescent="0.25">
      <c r="B22" s="18"/>
      <c r="C22" s="13"/>
      <c r="D22" s="13"/>
      <c r="E22" s="13"/>
      <c r="F22" s="13"/>
      <c r="G22" s="13"/>
      <c r="H22" s="13"/>
      <c r="I22" s="13"/>
    </row>
    <row r="23" spans="2:10" ht="15" customHeight="1" thickBot="1" x14ac:dyDescent="0.35">
      <c r="B23" s="38" t="s">
        <v>57</v>
      </c>
      <c r="C23" s="38"/>
      <c r="D23" s="38"/>
      <c r="E23" s="38"/>
      <c r="F23" s="38"/>
      <c r="G23" s="38"/>
      <c r="H23" s="38"/>
      <c r="I23" s="38"/>
      <c r="J23" s="19"/>
    </row>
    <row r="24" spans="2:10" ht="15" customHeight="1" x14ac:dyDescent="0.25">
      <c r="B24" s="45" t="s">
        <v>61</v>
      </c>
      <c r="C24" s="45"/>
      <c r="D24" s="45"/>
      <c r="E24" s="45"/>
      <c r="F24" s="45"/>
      <c r="G24" s="45"/>
      <c r="H24" s="45"/>
      <c r="I24" s="45"/>
      <c r="J24" s="19"/>
    </row>
    <row r="25" spans="2:10" ht="15" customHeight="1" x14ac:dyDescent="0.25">
      <c r="B25" s="40" t="s">
        <v>58</v>
      </c>
      <c r="C25" s="40"/>
      <c r="D25" s="40"/>
      <c r="E25" s="40"/>
      <c r="F25" s="40"/>
      <c r="G25" s="40"/>
      <c r="H25" s="40"/>
      <c r="I25" s="40"/>
      <c r="J25" s="19"/>
    </row>
    <row r="26" spans="2:10" ht="15" customHeight="1" x14ac:dyDescent="0.25">
      <c r="B26" s="40" t="s">
        <v>59</v>
      </c>
      <c r="C26" s="40"/>
      <c r="D26" s="40"/>
      <c r="E26" s="40"/>
      <c r="F26" s="40"/>
      <c r="G26" s="40"/>
      <c r="H26" s="40"/>
      <c r="I26" s="40"/>
      <c r="J26" s="19"/>
    </row>
    <row r="27" spans="2:10" ht="15" customHeight="1" x14ac:dyDescent="0.25">
      <c r="B27" s="40" t="s">
        <v>60</v>
      </c>
      <c r="C27" s="40"/>
      <c r="D27" s="40"/>
      <c r="E27" s="40"/>
      <c r="F27" s="40"/>
      <c r="G27" s="40"/>
      <c r="H27" s="40"/>
      <c r="I27" s="40"/>
    </row>
    <row r="28" spans="2:10" ht="15" customHeight="1" x14ac:dyDescent="0.25">
      <c r="B28" s="18"/>
      <c r="C28" s="18"/>
      <c r="D28" s="18"/>
      <c r="E28" s="18"/>
      <c r="F28" s="18"/>
      <c r="G28" s="18"/>
      <c r="H28" s="18"/>
      <c r="I28" s="18"/>
    </row>
    <row r="29" spans="2:10" ht="15" customHeight="1" x14ac:dyDescent="0.3">
      <c r="C29" s="17"/>
      <c r="D29" s="17"/>
      <c r="E29" s="17"/>
      <c r="F29" s="17"/>
      <c r="G29" s="17"/>
      <c r="H29" s="17"/>
      <c r="I29" s="17"/>
    </row>
    <row r="30" spans="2:10" ht="19.5" thickBot="1" x14ac:dyDescent="0.35">
      <c r="B30" s="38" t="s">
        <v>62</v>
      </c>
      <c r="C30" s="38"/>
      <c r="D30" s="38"/>
      <c r="E30" s="38"/>
      <c r="F30" s="38"/>
      <c r="G30" s="38"/>
      <c r="H30" s="38"/>
      <c r="I30" s="38"/>
    </row>
    <row r="31" spans="2:10" x14ac:dyDescent="0.25">
      <c r="B31" s="39" t="s">
        <v>64</v>
      </c>
      <c r="C31" s="39"/>
      <c r="D31" s="39"/>
      <c r="E31" s="39"/>
      <c r="F31" s="39"/>
      <c r="G31" s="39"/>
      <c r="H31" s="39"/>
      <c r="I31" s="39"/>
    </row>
    <row r="32" spans="2:10" x14ac:dyDescent="0.25">
      <c r="B32" s="39" t="s">
        <v>63</v>
      </c>
      <c r="C32" s="39"/>
      <c r="D32" s="39"/>
      <c r="E32" s="39"/>
      <c r="F32" s="39"/>
      <c r="G32" s="39"/>
      <c r="H32" s="39"/>
      <c r="I32" s="39"/>
    </row>
    <row r="33" spans="2:9" x14ac:dyDescent="0.25">
      <c r="B33" s="39" t="s">
        <v>70</v>
      </c>
      <c r="C33" s="39"/>
      <c r="D33" s="39"/>
      <c r="E33" s="39"/>
      <c r="F33" s="39"/>
      <c r="G33" s="39"/>
      <c r="H33" s="39"/>
      <c r="I33" s="39"/>
    </row>
    <row r="34" spans="2:9" x14ac:dyDescent="0.25">
      <c r="B34" s="39" t="s">
        <v>65</v>
      </c>
      <c r="C34" s="39"/>
      <c r="D34" s="39"/>
      <c r="E34" s="39"/>
      <c r="F34" s="39"/>
      <c r="G34" s="39"/>
      <c r="H34" s="39"/>
      <c r="I34" s="39"/>
    </row>
    <row r="43" spans="2:9" ht="18.75" x14ac:dyDescent="0.3">
      <c r="B43" s="36"/>
      <c r="C43" s="37"/>
      <c r="D43" s="37"/>
      <c r="E43" s="37"/>
      <c r="F43" s="37"/>
      <c r="G43" s="37"/>
      <c r="H43" s="37"/>
      <c r="I43" s="37"/>
    </row>
    <row r="54" spans="2:9" ht="18.75" x14ac:dyDescent="0.3">
      <c r="B54" s="36"/>
      <c r="C54" s="37"/>
      <c r="D54" s="37"/>
      <c r="E54" s="37"/>
      <c r="F54" s="37"/>
      <c r="G54" s="37"/>
      <c r="H54" s="37"/>
      <c r="I54" s="37"/>
    </row>
    <row r="61" spans="2:9" ht="18.75" x14ac:dyDescent="0.3">
      <c r="B61" s="36"/>
      <c r="C61" s="37"/>
      <c r="D61" s="37"/>
      <c r="E61" s="37"/>
      <c r="F61" s="37"/>
      <c r="G61" s="37"/>
      <c r="H61" s="37"/>
      <c r="I61" s="37"/>
    </row>
  </sheetData>
  <mergeCells count="27">
    <mergeCell ref="B6:I6"/>
    <mergeCell ref="B32:I32"/>
    <mergeCell ref="B43:I43"/>
    <mergeCell ref="B54:I54"/>
    <mergeCell ref="B2:I2"/>
    <mergeCell ref="C8:J8"/>
    <mergeCell ref="C7:I7"/>
    <mergeCell ref="C9:J9"/>
    <mergeCell ref="C10:J10"/>
    <mergeCell ref="B3:I3"/>
    <mergeCell ref="C11:J11"/>
    <mergeCell ref="C12:J12"/>
    <mergeCell ref="B61:I61"/>
    <mergeCell ref="B15:I15"/>
    <mergeCell ref="B33:I33"/>
    <mergeCell ref="B30:I30"/>
    <mergeCell ref="B34:I34"/>
    <mergeCell ref="B27:I27"/>
    <mergeCell ref="C17:I17"/>
    <mergeCell ref="C18:I18"/>
    <mergeCell ref="C19:I19"/>
    <mergeCell ref="C20:I20"/>
    <mergeCell ref="B31:I31"/>
    <mergeCell ref="B23:I23"/>
    <mergeCell ref="B24:I24"/>
    <mergeCell ref="B25:I25"/>
    <mergeCell ref="B26:I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BC9F-3CE7-4ECC-A2CC-9EB11DD38A48}">
  <dimension ref="A1:Y23"/>
  <sheetViews>
    <sheetView showGridLines="0" tabSelected="1" zoomScale="130" zoomScaleNormal="130" workbookViewId="0">
      <pane ySplit="4" topLeftCell="A5" activePane="bottomLeft" state="frozen"/>
      <selection pane="bottomLeft" activeCell="D20" sqref="D20"/>
    </sheetView>
  </sheetViews>
  <sheetFormatPr defaultColWidth="0" defaultRowHeight="15" customHeight="1" zeroHeight="1" x14ac:dyDescent="0.25"/>
  <cols>
    <col min="1" max="1" width="13.42578125" style="4" customWidth="1"/>
    <col min="2" max="2" width="19.5703125" style="3" bestFit="1" customWidth="1"/>
    <col min="3" max="3" width="19.5703125" style="3" customWidth="1"/>
    <col min="4" max="4" width="22" style="1" customWidth="1"/>
    <col min="5" max="5" width="22.85546875" style="1" bestFit="1" customWidth="1"/>
    <col min="6" max="6" width="22.5703125" style="2" bestFit="1" customWidth="1"/>
    <col min="7" max="8" width="15.28515625" style="1" bestFit="1" customWidth="1"/>
    <col min="9" max="9" width="15.7109375" style="1" bestFit="1" customWidth="1"/>
    <col min="10" max="10" width="19.7109375" style="1" customWidth="1"/>
    <col min="11" max="11" width="32.28515625" style="13" bestFit="1" customWidth="1"/>
    <col min="12" max="12" width="25" style="1" bestFit="1" customWidth="1"/>
    <col min="13" max="16384" width="9.140625" hidden="1"/>
  </cols>
  <sheetData>
    <row r="1" spans="1:25" ht="24" x14ac:dyDescent="0.25">
      <c r="A1" s="33" t="s">
        <v>42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25" s="34" customFormat="1" x14ac:dyDescent="0.25">
      <c r="A2" s="34" t="s">
        <v>73</v>
      </c>
    </row>
    <row r="3" spans="1:25" s="35" customFormat="1" ht="6.75" customHeight="1" x14ac:dyDescent="0.25"/>
    <row r="4" spans="1:25" s="8" customFormat="1" x14ac:dyDescent="0.25">
      <c r="A4" s="10" t="s">
        <v>12</v>
      </c>
      <c r="B4" s="9" t="s">
        <v>11</v>
      </c>
      <c r="C4" s="9" t="s">
        <v>10</v>
      </c>
      <c r="D4" s="8" t="s">
        <v>9</v>
      </c>
      <c r="E4" s="8" t="s">
        <v>8</v>
      </c>
      <c r="F4" s="8" t="s">
        <v>7</v>
      </c>
      <c r="G4" s="8" t="s">
        <v>6</v>
      </c>
      <c r="H4" s="8" t="s">
        <v>5</v>
      </c>
      <c r="I4" s="8" t="s">
        <v>4</v>
      </c>
      <c r="J4" s="8" t="s">
        <v>3</v>
      </c>
      <c r="K4" s="8" t="s">
        <v>2</v>
      </c>
      <c r="L4" s="8" t="s">
        <v>1</v>
      </c>
    </row>
    <row r="5" spans="1:25" x14ac:dyDescent="0.25">
      <c r="A5" s="6">
        <v>46023</v>
      </c>
      <c r="B5" s="5">
        <v>256.3</v>
      </c>
      <c r="C5" s="5">
        <f t="shared" ref="C5:C23" ca="1" si="0">_xlfn.LET(
_xlpm.r,RAND(),
IF(_xlpm.r&lt;0.2,ROUND(RANDBETWEEN(200,1000)/100,2),
IF(_xlpm.r&lt;0.45,ROUND(RANDBETWEEN(1000,2000)/100,2),
IF(_xlpm.r&lt;0.8,ROUND(RANDBETWEEN(2000,3500)/100,2),
IF(_xlpm.r&lt;0.95,ROUND(RANDBETWEEN(3500,5000)/100,2),
ROUND(RANDBETWEEN(5000,6000)/100,2))))))</f>
        <v>33.76</v>
      </c>
      <c r="D5" s="1" t="s">
        <v>0</v>
      </c>
      <c r="E5" s="1" t="str">
        <f t="shared" ref="E5:E23" si="1">IF(D5="No_Promotion","N/A",IF(D5="Spend20_Save10",IF(B5&gt;=20,"Yes","No"),IF(D5="Spend40_Save20",IF(B5&gt;=40,"Yes","No"),"")))</f>
        <v>Yes</v>
      </c>
      <c r="F5" s="2">
        <f t="shared" ref="F5:F23" ca="1" si="2">IF(E5="No",C5,
IF(D5="Spend20_Save10",C5-10,
IF(D5="Spend40_Save20",C5-20,
C5)))</f>
        <v>23.759999999999998</v>
      </c>
      <c r="G5" s="1" t="str">
        <f t="shared" ref="G5:G23" ca="1" si="3">_xlfn.LET(
_xlpm.r,RAND(),
IF(_xlpm.r&lt;=0.2,"18-29",
IF(_xlpm.r&lt;=0.55,"30-44",
IF(_xlpm.r&lt;=0.85,"45-59",
"60+"))))</f>
        <v>30-44</v>
      </c>
      <c r="H5" s="1" t="str">
        <f t="shared" ref="H5:H23" ca="1" si="4">_xlfn.LET(
_xlpm.r,RAND(),
IF(B5&lt;30,
    IF(_xlpm.r&lt;0.8,"Individual",
        IF(_xlpm.r&lt;0.95,"Couple","Family")),
IF(B5&lt;60,
    IF(_xlpm.r&lt;0.5,"Individual",
        IF(_xlpm.r&lt;0.85,"Couple","Family")),
IF(B5&lt;100,
    IF(_xlpm.r&lt;0.2,"Individual",
        IF(_xlpm.r&lt;0.6,"Couple",
            IF(_xlpm.r&lt;0.95,"Family","Business"))),
IF(B5&lt;200,
    IF(_xlpm.r&lt;0.1,"Couple",
        IF(_xlpm.r&lt;0.8,"Family","Business")),
    IF(_xlpm.r&lt;0.7,"Business","Family")
)))))</f>
        <v>Business</v>
      </c>
      <c r="I5" s="1">
        <f ca="1">IF(H5="Individual",1,
IF(H5="Couple",2,
IF(H5="Family",
IF(RAND()&lt;0.6,3,"4+"),
CHOOSE(MATCH(RAND(),{0,0.5,0.8},1),1,2,3))))</f>
        <v>1</v>
      </c>
      <c r="J5" s="1" t="str">
        <f t="shared" ref="J5:J23" ca="1" si="5">IF(E5="No","Not_Presented",
IF(RAND()&lt;
MIN(0.85,
MAX(0.15,
0.35
+IF(B5&lt;50,-0.1,IF(B5&lt;100,0,IF(B5&lt;200,0.1,0.2)))
+IF(F5&lt;0,0.15,IF(F5&lt;15,0.1,IF(F5&gt;40,-0.1,0)))
+IF(D5="Spend40_Save20",0.1,IF(D5="Spend20_Save10",0.05,0))
)),
"Accepted","Declined"))</f>
        <v>Declined</v>
      </c>
      <c r="K5" s="11" t="str" cm="1">
        <f t="array" aca="1" ref="K5" ca="1">IF(J5&lt;&gt;"Declined","N/A",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IF(E5="Yes",_xlpm.Reasons&lt;&gt;"Basket Below Promotion Threshold",TRUE)*
IF(F5&lt;=1,_xlpm.Reasons&lt;&gt;"Price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Other</v>
      </c>
      <c r="L5" s="16" t="str">
        <f t="shared" ref="L5:L23" ca="1" si="6">_xlfn.LET(
_xlpm.Score,
IF(B5&gt;=100,2,IF(B5&gt;=50,1,0))
+IF(C5&lt;=20,2,IF(C5&lt;=40,1,0))
+IF(AND(D5&lt;&gt;"No_Promotion",E5="Yes"),1,0),
IF(_xlpm.Score&gt;=4,"High",IF(_xlpm.Score&gt;=2,"Medium","Low"))
)</f>
        <v>High</v>
      </c>
    </row>
    <row r="6" spans="1:25" x14ac:dyDescent="0.25">
      <c r="A6" s="6">
        <v>46023</v>
      </c>
      <c r="B6" s="5">
        <v>44.2</v>
      </c>
      <c r="C6" s="5">
        <f t="shared" ca="1" si="0"/>
        <v>49.01</v>
      </c>
      <c r="D6" s="1" t="s">
        <v>0</v>
      </c>
      <c r="E6" s="1" t="str">
        <f t="shared" si="1"/>
        <v>Yes</v>
      </c>
      <c r="F6" s="2">
        <f t="shared" ca="1" si="2"/>
        <v>39.01</v>
      </c>
      <c r="G6" s="1" t="str">
        <f t="shared" ca="1" si="3"/>
        <v>30-44</v>
      </c>
      <c r="H6" s="1" t="str">
        <f t="shared" ca="1" si="4"/>
        <v>Individual</v>
      </c>
      <c r="I6" s="1">
        <f ca="1">IF(H6="Individual",1,
IF(H6="Couple",2,
IF(H6="Family",
IF(RAND()&lt;0.6,3,"4+"),
CHOOSE(MATCH(RAND(),{0,0.5,0.8},1),1,2,3))))</f>
        <v>1</v>
      </c>
      <c r="J6" s="1" t="str">
        <f t="shared" ca="1" si="5"/>
        <v>Accepted</v>
      </c>
      <c r="K6" s="11" t="str" cm="1">
        <f t="array" aca="1" ref="K6" ca="1">IF(J6&lt;&gt;"Declined","N/A",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IF(E6="Yes",_xlpm.Reasons&lt;&gt;"Basket Below Promotion Threshold",TRUE)*
IF(F6&lt;=1,_xlpm.Reasons&lt;&gt;"Price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N/A</v>
      </c>
      <c r="L6" s="1" t="str">
        <f t="shared" ca="1" si="6"/>
        <v>Low</v>
      </c>
    </row>
    <row r="7" spans="1:25" x14ac:dyDescent="0.25">
      <c r="A7" s="6">
        <v>46023</v>
      </c>
      <c r="B7" s="5">
        <v>90.49</v>
      </c>
      <c r="C7" s="5">
        <f t="shared" ca="1" si="0"/>
        <v>37.020000000000003</v>
      </c>
      <c r="D7" s="1" t="s">
        <v>0</v>
      </c>
      <c r="E7" s="1" t="str">
        <f t="shared" si="1"/>
        <v>Yes</v>
      </c>
      <c r="F7" s="2">
        <f t="shared" ca="1" si="2"/>
        <v>27.020000000000003</v>
      </c>
      <c r="G7" s="1" t="str">
        <f t="shared" ca="1" si="3"/>
        <v>60+</v>
      </c>
      <c r="H7" s="1" t="str">
        <f t="shared" ca="1" si="4"/>
        <v>Family</v>
      </c>
      <c r="I7" s="1" t="str">
        <f ca="1">IF(H7="Individual",1,
IF(H7="Couple",2,
IF(H7="Family",
IF(RAND()&lt;0.6,3,"4+"),
CHOOSE(MATCH(RAND(),{0,0.5,0.8},1),1,2,3))))</f>
        <v>4+</v>
      </c>
      <c r="J7" s="1" t="str">
        <f t="shared" ca="1" si="5"/>
        <v>Accepted</v>
      </c>
      <c r="K7" s="11" t="str" cm="1">
        <f t="array" aca="1" ref="K7" ca="1">IF(J7&lt;&gt;"Declined","N/A",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IF(E7="Yes",_xlpm.Reasons&lt;&gt;"Basket Below Promotion Threshold",TRUE)*
IF(F7&lt;=1,_xlpm.Reasons&lt;&gt;"Price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N/A</v>
      </c>
      <c r="L7" s="1" t="str">
        <f t="shared" ca="1" si="6"/>
        <v>Medium</v>
      </c>
    </row>
    <row r="8" spans="1:25" x14ac:dyDescent="0.25">
      <c r="A8" s="6">
        <v>46023</v>
      </c>
      <c r="B8" s="5">
        <v>35.869999999999997</v>
      </c>
      <c r="C8" s="5">
        <f t="shared" ca="1" si="0"/>
        <v>31.59</v>
      </c>
      <c r="D8" s="1" t="s">
        <v>0</v>
      </c>
      <c r="E8" s="1" t="str">
        <f t="shared" si="1"/>
        <v>Yes</v>
      </c>
      <c r="F8" s="2">
        <f t="shared" ca="1" si="2"/>
        <v>21.59</v>
      </c>
      <c r="G8" s="1" t="str">
        <f t="shared" ca="1" si="3"/>
        <v>60+</v>
      </c>
      <c r="H8" s="1" t="str">
        <f t="shared" ca="1" si="4"/>
        <v>Individual</v>
      </c>
      <c r="I8" s="1">
        <f ca="1">IF(H8="Individual",1,
IF(H8="Couple",2,
IF(H8="Family",
IF(RAND()&lt;0.6,3,"4+"),
CHOOSE(MATCH(RAND(),{0,0.5,0.8},1),1,2,3))))</f>
        <v>1</v>
      </c>
      <c r="J8" s="1" t="str">
        <f t="shared" ca="1" si="5"/>
        <v>Declined</v>
      </c>
      <c r="K8" s="11" t="str" cm="1">
        <f t="array" aca="1" ref="K8" ca="1">IF(J8&lt;&gt;"Declined","N/A",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IF(E8="Yes",_xlpm.Reasons&lt;&gt;"Basket Below Promotion Threshold",TRUE)*
IF(F8&lt;=1,_xlpm.Reasons&lt;&gt;"Price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Infrequent Shopper</v>
      </c>
      <c r="L8" s="1" t="str">
        <f t="shared" ca="1" si="6"/>
        <v>Medium</v>
      </c>
    </row>
    <row r="9" spans="1:25" x14ac:dyDescent="0.25">
      <c r="A9" s="6">
        <v>46023</v>
      </c>
      <c r="B9" s="5">
        <v>212.76</v>
      </c>
      <c r="C9" s="5">
        <f t="shared" ca="1" si="0"/>
        <v>30.67</v>
      </c>
      <c r="D9" s="1" t="s">
        <v>0</v>
      </c>
      <c r="E9" s="1" t="str">
        <f t="shared" si="1"/>
        <v>Yes</v>
      </c>
      <c r="F9" s="2">
        <f t="shared" ca="1" si="2"/>
        <v>20.67</v>
      </c>
      <c r="G9" s="1" t="str">
        <f t="shared" ca="1" si="3"/>
        <v>30-44</v>
      </c>
      <c r="H9" s="1" t="str">
        <f t="shared" ca="1" si="4"/>
        <v>Business</v>
      </c>
      <c r="I9" s="1">
        <f ca="1">IF(H9="Individual",1,
IF(H9="Couple",2,
IF(H9="Family",
IF(RAND()&lt;0.6,3,"4+"),
CHOOSE(MATCH(RAND(),{0,0.5,0.8},1),1,2,3))))</f>
        <v>3</v>
      </c>
      <c r="J9" s="1" t="str">
        <f t="shared" ca="1" si="5"/>
        <v>Accepted</v>
      </c>
      <c r="K9" s="11" t="str" cm="1">
        <f t="array" aca="1" ref="K9" ca="1">IF(J9&lt;&gt;"Declined","N/A",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IF(E9="Yes",_xlpm.Reasons&lt;&gt;"Basket Below Promotion Threshold",TRUE)*
IF(F9&lt;=1,_xlpm.Reasons&lt;&gt;"Price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N/A</v>
      </c>
      <c r="L9" s="1" t="str">
        <f t="shared" ca="1" si="6"/>
        <v>High</v>
      </c>
    </row>
    <row r="10" spans="1:25" x14ac:dyDescent="0.25">
      <c r="A10" s="6">
        <v>46023</v>
      </c>
      <c r="B10" s="5">
        <v>10.25</v>
      </c>
      <c r="C10" s="5">
        <f t="shared" ca="1" si="0"/>
        <v>59.54</v>
      </c>
      <c r="D10" s="1" t="s">
        <v>0</v>
      </c>
      <c r="E10" s="1" t="str">
        <f t="shared" si="1"/>
        <v>No</v>
      </c>
      <c r="F10" s="2">
        <f t="shared" ca="1" si="2"/>
        <v>59.54</v>
      </c>
      <c r="G10" s="1" t="str">
        <f t="shared" ca="1" si="3"/>
        <v>30-44</v>
      </c>
      <c r="H10" s="1" t="str">
        <f t="shared" ca="1" si="4"/>
        <v>Individual</v>
      </c>
      <c r="I10" s="1">
        <f ca="1">IF(H10="Individual",1,
IF(H10="Couple",2,
IF(H10="Family",
IF(RAND()&lt;0.6,3,"4+"),
CHOOSE(MATCH(RAND(),{0,0.5,0.8},1),1,2,3))))</f>
        <v>1</v>
      </c>
      <c r="J10" s="1" t="str">
        <f t="shared" ca="1" si="5"/>
        <v>Not_Presented</v>
      </c>
      <c r="K10" s="11" t="str" cm="1">
        <f t="array" aca="1" ref="K10" ca="1">IF(J10&lt;&gt;"Declined","N/A",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IF(E10="Yes",_xlpm.Reasons&lt;&gt;"Basket Below Promotion Threshold",TRUE)*
IF(F10&lt;=1,_xlpm.Reasons&lt;&gt;"Price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N/A</v>
      </c>
      <c r="L10" s="1" t="str">
        <f t="shared" ca="1" si="6"/>
        <v>Low</v>
      </c>
    </row>
    <row r="11" spans="1:25" x14ac:dyDescent="0.25">
      <c r="A11" s="6">
        <v>46023</v>
      </c>
      <c r="B11" s="5">
        <v>137.71</v>
      </c>
      <c r="C11" s="5">
        <f t="shared" ca="1" si="0"/>
        <v>20.05</v>
      </c>
      <c r="D11" s="1" t="s">
        <v>0</v>
      </c>
      <c r="E11" s="1" t="str">
        <f t="shared" si="1"/>
        <v>Yes</v>
      </c>
      <c r="F11" s="2">
        <f t="shared" ca="1" si="2"/>
        <v>10.050000000000001</v>
      </c>
      <c r="G11" s="1" t="str">
        <f t="shared" ca="1" si="3"/>
        <v>18-29</v>
      </c>
      <c r="H11" s="1" t="str">
        <f t="shared" ca="1" si="4"/>
        <v>Family</v>
      </c>
      <c r="I11" s="1">
        <f ca="1">IF(H11="Individual",1,
IF(H11="Couple",2,
IF(H11="Family",
IF(RAND()&lt;0.6,3,"4+"),
CHOOSE(MATCH(RAND(),{0,0.5,0.8},1),1,2,3))))</f>
        <v>3</v>
      </c>
      <c r="J11" s="1" t="str">
        <f t="shared" ca="1" si="5"/>
        <v>Accepted</v>
      </c>
      <c r="K11" s="11" t="str" cm="1">
        <f t="array" aca="1" ref="K11" ca="1">IF(J11&lt;&gt;"Declined","N/A",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IF(E11="Yes",_xlpm.Reasons&lt;&gt;"Basket Below Promotion Threshold",TRUE)*
IF(F11&lt;=1,_xlpm.Reasons&lt;&gt;"Price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N/A</v>
      </c>
      <c r="L11" s="1" t="str">
        <f t="shared" ca="1" si="6"/>
        <v>High</v>
      </c>
    </row>
    <row r="12" spans="1:25" x14ac:dyDescent="0.25">
      <c r="A12" s="6">
        <v>46024</v>
      </c>
      <c r="B12" s="5">
        <v>184.99</v>
      </c>
      <c r="C12" s="5">
        <f t="shared" ca="1" si="0"/>
        <v>3.63</v>
      </c>
      <c r="D12" s="1" t="s">
        <v>0</v>
      </c>
      <c r="E12" s="1" t="str">
        <f t="shared" si="1"/>
        <v>Yes</v>
      </c>
      <c r="F12" s="2">
        <f t="shared" ca="1" si="2"/>
        <v>-6.37</v>
      </c>
      <c r="G12" s="1" t="str">
        <f t="shared" ca="1" si="3"/>
        <v>30-44</v>
      </c>
      <c r="H12" s="1" t="str">
        <f t="shared" ca="1" si="4"/>
        <v>Family</v>
      </c>
      <c r="I12" s="1" t="str">
        <f ca="1">IF(H12="Individual",1,
IF(H12="Couple",2,
IF(H12="Family",
IF(RAND()&lt;0.6,3,"4+"),
CHOOSE(MATCH(RAND(),{0,0.5,0.8},1),1,2,3))))</f>
        <v>4+</v>
      </c>
      <c r="J12" s="1" t="str">
        <f t="shared" ca="1" si="5"/>
        <v>Accepted</v>
      </c>
      <c r="K12" s="11" t="str" cm="1">
        <f t="array" aca="1" ref="K12" ca="1">IF(J12&lt;&gt;"Declined","N/A",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IF(E12="Yes",_xlpm.Reasons&lt;&gt;"Basket Below Promotion Threshold",TRUE)*
IF(F12&lt;=1,_xlpm.Reasons&lt;&gt;"Price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N/A</v>
      </c>
      <c r="L12" s="1" t="str">
        <f t="shared" ca="1" si="6"/>
        <v>High</v>
      </c>
    </row>
    <row r="13" spans="1:25" x14ac:dyDescent="0.25">
      <c r="A13" s="6">
        <v>46024</v>
      </c>
      <c r="B13" s="5">
        <v>26.68</v>
      </c>
      <c r="C13" s="5">
        <f t="shared" ca="1" si="0"/>
        <v>14.48</v>
      </c>
      <c r="D13" s="1" t="s">
        <v>0</v>
      </c>
      <c r="E13" s="1" t="str">
        <f t="shared" si="1"/>
        <v>Yes</v>
      </c>
      <c r="F13" s="2">
        <f t="shared" ca="1" si="2"/>
        <v>4.4800000000000004</v>
      </c>
      <c r="G13" s="1" t="str">
        <f t="shared" ca="1" si="3"/>
        <v>30-44</v>
      </c>
      <c r="H13" s="1" t="str">
        <f t="shared" ca="1" si="4"/>
        <v>Family</v>
      </c>
      <c r="I13" s="1">
        <f ca="1">IF(H13="Individual",1,
IF(H13="Couple",2,
IF(H13="Family",
IF(RAND()&lt;0.6,3,"4+"),
CHOOSE(MATCH(RAND(),{0,0.5,0.8},1),1,2,3))))</f>
        <v>3</v>
      </c>
      <c r="J13" s="1" t="str">
        <f t="shared" ca="1" si="5"/>
        <v>Declined</v>
      </c>
      <c r="K13" s="11" t="str" cm="1">
        <f t="array" aca="1" ref="K13" ca="1">IF(J13&lt;&gt;"Declined","N/A",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IF(E13="Yes",_xlpm.Reasons&lt;&gt;"Basket Below Promotion Threshold",TRUE)*
IF(F13&lt;=1,_xlpm.Reasons&lt;&gt;"Price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Infrequent Shopper</v>
      </c>
      <c r="L13" s="1" t="str">
        <f t="shared" ca="1" si="6"/>
        <v>Medium</v>
      </c>
      <c r="Y13" s="7"/>
    </row>
    <row r="14" spans="1:25" x14ac:dyDescent="0.25">
      <c r="A14" s="6">
        <v>46024</v>
      </c>
      <c r="B14" s="5">
        <v>38.090000000000003</v>
      </c>
      <c r="C14" s="5">
        <f t="shared" ca="1" si="0"/>
        <v>13.77</v>
      </c>
      <c r="D14" s="1" t="s">
        <v>0</v>
      </c>
      <c r="E14" s="1" t="str">
        <f t="shared" si="1"/>
        <v>Yes</v>
      </c>
      <c r="F14" s="2">
        <f t="shared" ca="1" si="2"/>
        <v>3.7699999999999996</v>
      </c>
      <c r="G14" s="1" t="str">
        <f t="shared" ca="1" si="3"/>
        <v>45-59</v>
      </c>
      <c r="H14" s="1" t="str">
        <f t="shared" ca="1" si="4"/>
        <v>Family</v>
      </c>
      <c r="I14" s="1" t="str">
        <f ca="1">IF(H14="Individual",1,
IF(H14="Couple",2,
IF(H14="Family",
IF(RAND()&lt;0.6,3,"4+"),
CHOOSE(MATCH(RAND(),{0,0.5,0.8},1),1,2,3))))</f>
        <v>4+</v>
      </c>
      <c r="J14" s="1" t="str">
        <f t="shared" ca="1" si="5"/>
        <v>Declined</v>
      </c>
      <c r="K14" s="11" t="str" cm="1">
        <f t="array" aca="1" ref="K14" ca="1">IF(J14&lt;&gt;"Declined","N/A",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IF(E14="Yes",_xlpm.Reasons&lt;&gt;"Basket Below Promotion Threshold",TRUE)*
IF(F14&lt;=1,_xlpm.Reasons&lt;&gt;"Price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Infrequent Shopper</v>
      </c>
      <c r="L14" s="1" t="str">
        <f t="shared" ca="1" si="6"/>
        <v>Medium</v>
      </c>
    </row>
    <row r="15" spans="1:25" x14ac:dyDescent="0.25">
      <c r="A15" s="6">
        <v>46024</v>
      </c>
      <c r="B15" s="5">
        <v>79.569999999999993</v>
      </c>
      <c r="C15" s="5">
        <f t="shared" ca="1" si="0"/>
        <v>34.340000000000003</v>
      </c>
      <c r="D15" s="1" t="s">
        <v>0</v>
      </c>
      <c r="E15" s="1" t="str">
        <f t="shared" si="1"/>
        <v>Yes</v>
      </c>
      <c r="F15" s="2">
        <f t="shared" ca="1" si="2"/>
        <v>24.340000000000003</v>
      </c>
      <c r="G15" s="1" t="str">
        <f t="shared" ca="1" si="3"/>
        <v>30-44</v>
      </c>
      <c r="H15" s="1" t="str">
        <f t="shared" ca="1" si="4"/>
        <v>Individual</v>
      </c>
      <c r="I15" s="1">
        <f ca="1">IF(H15="Individual",1,
IF(H15="Couple",2,
IF(H15="Family",
IF(RAND()&lt;0.6,3,"4+"),
CHOOSE(MATCH(RAND(),{0,0.5,0.8},1),1,2,3))))</f>
        <v>1</v>
      </c>
      <c r="J15" s="1" t="str">
        <f t="shared" ca="1" si="5"/>
        <v>Declined</v>
      </c>
      <c r="K15" s="11" t="str" cm="1">
        <f t="array" aca="1" ref="K15" ca="1">IF(J15&lt;&gt;"Declined","N/A",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IF(E15="Yes",_xlpm.Reasons&lt;&gt;"Basket Below Promotion Threshold",TRUE)*
IF(F15&lt;=1,_xlpm.Reasons&lt;&gt;"Price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Not Account Owner</v>
      </c>
      <c r="L15" s="1" t="str">
        <f t="shared" ca="1" si="6"/>
        <v>Medium</v>
      </c>
    </row>
    <row r="16" spans="1:25" x14ac:dyDescent="0.25">
      <c r="A16" s="6">
        <v>46024</v>
      </c>
      <c r="B16" s="5">
        <v>34.53</v>
      </c>
      <c r="C16" s="5">
        <f t="shared" ca="1" si="0"/>
        <v>48.69</v>
      </c>
      <c r="D16" s="1" t="s">
        <v>0</v>
      </c>
      <c r="E16" s="1" t="str">
        <f t="shared" si="1"/>
        <v>Yes</v>
      </c>
      <c r="F16" s="2">
        <f t="shared" ca="1" si="2"/>
        <v>38.69</v>
      </c>
      <c r="G16" s="1" t="str">
        <f t="shared" ca="1" si="3"/>
        <v>60+</v>
      </c>
      <c r="H16" s="1" t="str">
        <f t="shared" ca="1" si="4"/>
        <v>Couple</v>
      </c>
      <c r="I16" s="1">
        <f ca="1">IF(H16="Individual",1,
IF(H16="Couple",2,
IF(H16="Family",
IF(RAND()&lt;0.6,3,"4+"),
CHOOSE(MATCH(RAND(),{0,0.5,0.8},1),1,2,3))))</f>
        <v>2</v>
      </c>
      <c r="J16" s="1" t="str">
        <f t="shared" ca="1" si="5"/>
        <v>Declined</v>
      </c>
      <c r="K16" s="11" t="str" cm="1">
        <f t="array" aca="1" ref="K16" ca="1">IF(J16&lt;&gt;"Declined","N/A",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IF(E16="Yes",_xlpm.Reasons&lt;&gt;"Basket Below Promotion Threshold",TRUE)*
IF(F16&lt;=1,_xlpm.Reasons&lt;&gt;"Price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Lack of Premium Knowledge</v>
      </c>
      <c r="L16" s="1" t="str">
        <f t="shared" ca="1" si="6"/>
        <v>Low</v>
      </c>
    </row>
    <row r="17" spans="1:12" x14ac:dyDescent="0.25">
      <c r="A17" s="6">
        <v>46024</v>
      </c>
      <c r="B17" s="5">
        <v>56.27</v>
      </c>
      <c r="C17" s="5">
        <f t="shared" ca="1" si="0"/>
        <v>14.02</v>
      </c>
      <c r="D17" s="1" t="s">
        <v>0</v>
      </c>
      <c r="E17" s="1" t="str">
        <f t="shared" si="1"/>
        <v>Yes</v>
      </c>
      <c r="F17" s="2">
        <f t="shared" ca="1" si="2"/>
        <v>4.0199999999999996</v>
      </c>
      <c r="G17" s="1" t="str">
        <f t="shared" ca="1" si="3"/>
        <v>30-44</v>
      </c>
      <c r="H17" s="1" t="str">
        <f t="shared" ca="1" si="4"/>
        <v>Couple</v>
      </c>
      <c r="I17" s="1">
        <f ca="1">IF(H17="Individual",1,
IF(H17="Couple",2,
IF(H17="Family",
IF(RAND()&lt;0.6,3,"4+"),
CHOOSE(MATCH(RAND(),{0,0.5,0.8},1),1,2,3))))</f>
        <v>2</v>
      </c>
      <c r="J17" s="1" t="str">
        <f t="shared" ca="1" si="5"/>
        <v>Declined</v>
      </c>
      <c r="K17" s="11" t="str" cm="1">
        <f t="array" aca="1" ref="K17" ca="1">IF(J17&lt;&gt;"Declined","N/A",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IF(E17="Yes",_xlpm.Reasons&lt;&gt;"Basket Below Promotion Threshold",TRUE)*
IF(F17&lt;=1,_xlpm.Reasons&lt;&gt;"Price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Not Account Owner</v>
      </c>
      <c r="L17" s="1" t="str">
        <f t="shared" ca="1" si="6"/>
        <v>High</v>
      </c>
    </row>
    <row r="18" spans="1:12" x14ac:dyDescent="0.25">
      <c r="A18" s="6">
        <v>46024</v>
      </c>
      <c r="B18" s="5">
        <v>199.48</v>
      </c>
      <c r="C18" s="5">
        <f t="shared" ca="1" si="0"/>
        <v>39.68</v>
      </c>
      <c r="D18" s="1" t="s">
        <v>0</v>
      </c>
      <c r="E18" s="1" t="str">
        <f t="shared" si="1"/>
        <v>Yes</v>
      </c>
      <c r="F18" s="2">
        <f t="shared" ca="1" si="2"/>
        <v>29.68</v>
      </c>
      <c r="G18" s="1" t="str">
        <f t="shared" ca="1" si="3"/>
        <v>30-44</v>
      </c>
      <c r="H18" s="1" t="str">
        <f t="shared" ca="1" si="4"/>
        <v>Business</v>
      </c>
      <c r="I18" s="1">
        <f ca="1">IF(H18="Individual",1,
IF(H18="Couple",2,
IF(H18="Family",
IF(RAND()&lt;0.6,3,"4+"),
CHOOSE(MATCH(RAND(),{0,0.5,0.8},1),1,2,3))))</f>
        <v>1</v>
      </c>
      <c r="J18" s="1" t="str">
        <f t="shared" ca="1" si="5"/>
        <v>Accepted</v>
      </c>
      <c r="K18" s="11" t="str" cm="1">
        <f t="array" aca="1" ref="K18" ca="1">IF(J18&lt;&gt;"Declined","N/A",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IF(E18="Yes",_xlpm.Reasons&lt;&gt;"Basket Below Promotion Threshold",TRUE)*
IF(F18&lt;=1,_xlpm.Reasons&lt;&gt;"Price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N/A</v>
      </c>
      <c r="L18" s="1" t="str">
        <f t="shared" ca="1" si="6"/>
        <v>High</v>
      </c>
    </row>
    <row r="19" spans="1:12" x14ac:dyDescent="0.25">
      <c r="A19" s="6">
        <v>46025</v>
      </c>
      <c r="B19" s="5">
        <v>64.959999999999994</v>
      </c>
      <c r="C19" s="5">
        <f t="shared" ca="1" si="0"/>
        <v>19.010000000000002</v>
      </c>
      <c r="D19" s="1" t="s">
        <v>0</v>
      </c>
      <c r="E19" s="1" t="str">
        <f t="shared" si="1"/>
        <v>Yes</v>
      </c>
      <c r="F19" s="2">
        <f t="shared" ca="1" si="2"/>
        <v>9.0100000000000016</v>
      </c>
      <c r="G19" s="1" t="str">
        <f t="shared" ca="1" si="3"/>
        <v>45-59</v>
      </c>
      <c r="H19" s="1" t="str">
        <f t="shared" ca="1" si="4"/>
        <v>Family</v>
      </c>
      <c r="I19" s="1" t="str">
        <f ca="1">IF(H19="Individual",1,
IF(H19="Couple",2,
IF(H19="Family",
IF(RAND()&lt;0.6,3,"4+"),
CHOOSE(MATCH(RAND(),{0,0.5,0.8},1),1,2,3))))</f>
        <v>4+</v>
      </c>
      <c r="J19" s="1" t="str">
        <f t="shared" ca="1" si="5"/>
        <v>Declined</v>
      </c>
      <c r="K19" s="11" t="str" cm="1">
        <f t="array" aca="1" ref="K19" ca="1">IF(J19&lt;&gt;"Declined","N/A",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IF(E19="Yes",_xlpm.Reasons&lt;&gt;"Basket Below Promotion Threshold",TRUE)*
IF(F19&lt;=1,_xlpm.Reasons&lt;&gt;"Price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Language Barrier</v>
      </c>
      <c r="L19" s="1" t="str">
        <f t="shared" ca="1" si="6"/>
        <v>High</v>
      </c>
    </row>
    <row r="20" spans="1:12" x14ac:dyDescent="0.25">
      <c r="A20" s="6">
        <v>46025</v>
      </c>
      <c r="B20" s="5">
        <v>62.35</v>
      </c>
      <c r="C20" s="5">
        <f t="shared" ca="1" si="0"/>
        <v>29.3</v>
      </c>
      <c r="D20" s="1" t="s">
        <v>0</v>
      </c>
      <c r="E20" s="1" t="str">
        <f t="shared" si="1"/>
        <v>Yes</v>
      </c>
      <c r="F20" s="2">
        <f t="shared" ca="1" si="2"/>
        <v>19.3</v>
      </c>
      <c r="G20" s="1" t="str">
        <f t="shared" ca="1" si="3"/>
        <v>30-44</v>
      </c>
      <c r="H20" s="1" t="str">
        <f t="shared" ca="1" si="4"/>
        <v>Couple</v>
      </c>
      <c r="I20" s="1">
        <f ca="1">IF(H20="Individual",1,
IF(H20="Couple",2,
IF(H20="Family",
IF(RAND()&lt;0.6,3,"4+"),
CHOOSE(MATCH(RAND(),{0,0.5,0.8},1),1,2,3))))</f>
        <v>2</v>
      </c>
      <c r="J20" s="1" t="str">
        <f t="shared" ca="1" si="5"/>
        <v>Declined</v>
      </c>
      <c r="K20" s="11" t="str" cm="1">
        <f t="array" aca="1" ref="K20" ca="1">IF(J20&lt;&gt;"Declined","N/A",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IF(E20="Yes",_xlpm.Reasons&lt;&gt;"Basket Below Promotion Threshold",TRUE)*
IF(F20&lt;=1,_xlpm.Reasons&lt;&gt;"Price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Infrequent Shopper</v>
      </c>
      <c r="L20" s="1" t="str">
        <f t="shared" ca="1" si="6"/>
        <v>Medium</v>
      </c>
    </row>
    <row r="21" spans="1:12" x14ac:dyDescent="0.25">
      <c r="A21" s="6">
        <v>46025</v>
      </c>
      <c r="B21" s="5">
        <v>35.549999999999997</v>
      </c>
      <c r="C21" s="5">
        <f t="shared" ca="1" si="0"/>
        <v>2.56</v>
      </c>
      <c r="D21" s="1" t="s">
        <v>0</v>
      </c>
      <c r="E21" s="1" t="str">
        <f t="shared" si="1"/>
        <v>Yes</v>
      </c>
      <c r="F21" s="2">
        <f t="shared" ca="1" si="2"/>
        <v>-7.4399999999999995</v>
      </c>
      <c r="G21" s="1" t="str">
        <f t="shared" ca="1" si="3"/>
        <v>30-44</v>
      </c>
      <c r="H21" s="1" t="str">
        <f t="shared" ca="1" si="4"/>
        <v>Individual</v>
      </c>
      <c r="I21" s="1">
        <f ca="1">IF(H21="Individual",1,
IF(H21="Couple",2,
IF(H21="Family",
IF(RAND()&lt;0.6,3,"4+"),
CHOOSE(MATCH(RAND(),{0,0.5,0.8},1),1,2,3))))</f>
        <v>1</v>
      </c>
      <c r="J21" s="1" t="str">
        <f t="shared" ca="1" si="5"/>
        <v>Accepted</v>
      </c>
      <c r="K21" s="11" t="str" cm="1">
        <f t="array" aca="1" ref="K21" ca="1">IF(J21&lt;&gt;"Declined","N/A",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IF(E21="Yes",_xlpm.Reasons&lt;&gt;"Basket Below Promotion Threshold",TRUE)*
IF(F21&lt;=1,_xlpm.Reasons&lt;&gt;"Price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N/A</v>
      </c>
      <c r="L21" s="1" t="str">
        <f t="shared" ca="1" si="6"/>
        <v>Medium</v>
      </c>
    </row>
    <row r="22" spans="1:12" x14ac:dyDescent="0.25">
      <c r="A22" s="6">
        <v>46025</v>
      </c>
      <c r="B22" s="5">
        <v>97.77</v>
      </c>
      <c r="C22" s="5">
        <f t="shared" ca="1" si="0"/>
        <v>25.43</v>
      </c>
      <c r="D22" s="1" t="s">
        <v>0</v>
      </c>
      <c r="E22" s="1" t="str">
        <f t="shared" si="1"/>
        <v>Yes</v>
      </c>
      <c r="F22" s="2">
        <f t="shared" ca="1" si="2"/>
        <v>15.43</v>
      </c>
      <c r="G22" s="1" t="str">
        <f t="shared" ca="1" si="3"/>
        <v>60+</v>
      </c>
      <c r="H22" s="1" t="str">
        <f t="shared" ca="1" si="4"/>
        <v>Business</v>
      </c>
      <c r="I22" s="1">
        <f ca="1">IF(H22="Individual",1,
IF(H22="Couple",2,
IF(H22="Family",
IF(RAND()&lt;0.6,3,"4+"),
CHOOSE(MATCH(RAND(),{0,0.5,0.8},1),1,2,3))))</f>
        <v>3</v>
      </c>
      <c r="J22" s="1" t="str">
        <f t="shared" ca="1" si="5"/>
        <v>Declined</v>
      </c>
      <c r="K22" s="11" t="str" cm="1">
        <f t="array" aca="1" ref="K22" ca="1">IF(J22&lt;&gt;"Declined","N/A",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IF(E22="Yes",_xlpm.Reasons&lt;&gt;"Basket Below Promotion Threshold",TRUE)*
IF(F22&lt;=1,_xlpm.Reasons&lt;&gt;"Price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Price Concern</v>
      </c>
      <c r="L22" s="1" t="str">
        <f t="shared" ca="1" si="6"/>
        <v>Medium</v>
      </c>
    </row>
    <row r="23" spans="1:12" x14ac:dyDescent="0.25">
      <c r="A23" s="6">
        <v>46025</v>
      </c>
      <c r="B23" s="5">
        <v>169.02</v>
      </c>
      <c r="C23" s="5">
        <f t="shared" ca="1" si="0"/>
        <v>28.67</v>
      </c>
      <c r="D23" s="1" t="s">
        <v>0</v>
      </c>
      <c r="E23" s="1" t="str">
        <f t="shared" si="1"/>
        <v>Yes</v>
      </c>
      <c r="F23" s="2">
        <f t="shared" ca="1" si="2"/>
        <v>18.670000000000002</v>
      </c>
      <c r="G23" s="1" t="str">
        <f t="shared" ca="1" si="3"/>
        <v>45-59</v>
      </c>
      <c r="H23" s="1" t="str">
        <f t="shared" ca="1" si="4"/>
        <v>Family</v>
      </c>
      <c r="I23" s="1" t="str">
        <f ca="1">IF(H23="Individual",1,
IF(H23="Couple",2,
IF(H23="Family",
IF(RAND()&lt;0.6,3,"4+"),
CHOOSE(MATCH(RAND(),{0,0.5,0.8},1),1,2,3))))</f>
        <v>4+</v>
      </c>
      <c r="J23" s="1" t="str">
        <f t="shared" ca="1" si="5"/>
        <v>Declined</v>
      </c>
      <c r="K23" s="11" t="str" cm="1">
        <f t="array" aca="1" ref="K23" ca="1">IF(J23&lt;&gt;"Declined","N/A",
_xlfn.LET(
_xlpm.Reasons,{"Basket Below Promotion Threshold","Infrequent Shopper","Price Concern","Not Account Owner","Language Barrier","Lack of Premium Knowledge","Doesn't Want Renewal Fee","Other"},
_xlpm.Weights,{0.3,0.2,0.1,0.1,0.05,0.1,0.05,0.1},
_xlpm.Valid,
IF(E23="Yes",_xlpm.Reasons&lt;&gt;"Basket Below Promotion Threshold",TRUE)*
IF(F23&lt;=1,_xlpm.Reasons&lt;&gt;"Price Concern",TRUE),
_xlpm.R,_xlfn._xlws.FILTER(_xlpm.Reasons,_xlpm.Valid),
_xlpm.W,_xlfn._xlws.FILTER(_xlpm.Weights,_xlpm.Valid),
_xlpm.C,_xlfn.SCAN(0,_xlpm.W,_xlfn.LAMBDA(_xlpm.a,_xlpm.b,_xlpm.a+_xlpm.b))/SUM(_xlpm.W),
INDEX(_xlpm.R,1,_xlfn.XMATCH(RAND(),_xlpm.C,1))
))</f>
        <v>Infrequent Shopper</v>
      </c>
      <c r="L23" s="1" t="str">
        <f t="shared" ca="1" si="6"/>
        <v>High</v>
      </c>
    </row>
  </sheetData>
  <mergeCells count="3">
    <mergeCell ref="A1:L1"/>
    <mergeCell ref="A2:XFD2"/>
    <mergeCell ref="A3:XFD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7FA2-BA13-4C07-80BF-DAA65BA00B46}">
  <dimension ref="B2:E57"/>
  <sheetViews>
    <sheetView showGridLines="0" topLeftCell="A45" zoomScale="115" zoomScaleNormal="115" workbookViewId="0">
      <selection activeCell="C41" sqref="C41"/>
    </sheetView>
  </sheetViews>
  <sheetFormatPr defaultRowHeight="15" x14ac:dyDescent="0.25"/>
  <cols>
    <col min="1" max="1" width="9.140625" style="11"/>
    <col min="2" max="2" width="32.85546875" style="11" customWidth="1"/>
    <col min="3" max="3" width="75" style="11" customWidth="1"/>
    <col min="4" max="4" width="11.5703125" style="14" customWidth="1"/>
    <col min="5" max="5" width="11.85546875" style="11" customWidth="1"/>
    <col min="6" max="16384" width="9.140625" style="11"/>
  </cols>
  <sheetData>
    <row r="2" spans="2:4" x14ac:dyDescent="0.25">
      <c r="B2" s="52" t="s">
        <v>9</v>
      </c>
      <c r="C2" s="52"/>
      <c r="D2" s="30"/>
    </row>
    <row r="3" spans="2:4" s="12" customFormat="1" x14ac:dyDescent="0.25">
      <c r="B3" s="28" t="s">
        <v>9</v>
      </c>
      <c r="C3" s="28" t="s">
        <v>13</v>
      </c>
    </row>
    <row r="4" spans="2:4" x14ac:dyDescent="0.25">
      <c r="B4" s="26" t="s">
        <v>14</v>
      </c>
      <c r="C4" s="26" t="s">
        <v>78</v>
      </c>
      <c r="D4" s="11"/>
    </row>
    <row r="5" spans="2:4" x14ac:dyDescent="0.25">
      <c r="B5" s="26" t="s">
        <v>0</v>
      </c>
      <c r="C5" s="26" t="s">
        <v>77</v>
      </c>
      <c r="D5" s="31"/>
    </row>
    <row r="6" spans="2:4" x14ac:dyDescent="0.25">
      <c r="B6" s="26" t="s">
        <v>15</v>
      </c>
      <c r="C6" s="26" t="s">
        <v>79</v>
      </c>
      <c r="D6" s="11"/>
    </row>
    <row r="7" spans="2:4" x14ac:dyDescent="0.25">
      <c r="B7" s="18"/>
      <c r="C7" s="18"/>
      <c r="D7" s="11"/>
    </row>
    <row r="8" spans="2:4" x14ac:dyDescent="0.25">
      <c r="B8" s="18"/>
      <c r="C8" s="18"/>
      <c r="D8" s="11"/>
    </row>
    <row r="9" spans="2:4" x14ac:dyDescent="0.25">
      <c r="B9" s="29" t="s">
        <v>8</v>
      </c>
      <c r="C9" s="18"/>
      <c r="D9" s="18"/>
    </row>
    <row r="10" spans="2:4" x14ac:dyDescent="0.25">
      <c r="B10" s="26" t="s">
        <v>80</v>
      </c>
      <c r="C10" s="18"/>
      <c r="D10" s="18"/>
    </row>
    <row r="11" spans="2:4" x14ac:dyDescent="0.25">
      <c r="B11" s="26" t="s">
        <v>81</v>
      </c>
      <c r="C11" s="18"/>
      <c r="D11" s="18"/>
    </row>
    <row r="12" spans="2:4" x14ac:dyDescent="0.25">
      <c r="B12" s="26" t="s">
        <v>82</v>
      </c>
      <c r="C12" s="18"/>
      <c r="D12" s="18"/>
    </row>
    <row r="13" spans="2:4" x14ac:dyDescent="0.25">
      <c r="B13" s="18"/>
      <c r="C13" s="18"/>
      <c r="D13" s="18"/>
    </row>
    <row r="14" spans="2:4" x14ac:dyDescent="0.25">
      <c r="B14" s="13"/>
      <c r="C14" s="13"/>
      <c r="D14" s="13"/>
    </row>
    <row r="15" spans="2:4" x14ac:dyDescent="0.25">
      <c r="B15" s="29" t="s">
        <v>6</v>
      </c>
      <c r="D15" s="11"/>
    </row>
    <row r="16" spans="2:4" x14ac:dyDescent="0.25">
      <c r="B16" s="26" t="s">
        <v>32</v>
      </c>
      <c r="D16" s="11"/>
    </row>
    <row r="17" spans="2:4" x14ac:dyDescent="0.25">
      <c r="B17" s="26" t="s">
        <v>33</v>
      </c>
    </row>
    <row r="18" spans="2:4" x14ac:dyDescent="0.25">
      <c r="B18" s="26" t="s">
        <v>34</v>
      </c>
      <c r="D18" s="11"/>
    </row>
    <row r="19" spans="2:4" x14ac:dyDescent="0.25">
      <c r="B19" s="26" t="s">
        <v>35</v>
      </c>
      <c r="D19" s="11"/>
    </row>
    <row r="20" spans="2:4" x14ac:dyDescent="0.25">
      <c r="B20" s="18"/>
      <c r="D20" s="11"/>
    </row>
    <row r="21" spans="2:4" x14ac:dyDescent="0.25">
      <c r="B21" s="18"/>
      <c r="D21" s="11"/>
    </row>
    <row r="22" spans="2:4" ht="15.75" x14ac:dyDescent="0.25">
      <c r="B22" s="29" t="s">
        <v>5</v>
      </c>
      <c r="C22" s="15"/>
      <c r="D22" s="15"/>
    </row>
    <row r="23" spans="2:4" x14ac:dyDescent="0.25">
      <c r="B23" s="26" t="s">
        <v>28</v>
      </c>
    </row>
    <row r="24" spans="2:4" x14ac:dyDescent="0.25">
      <c r="B24" s="26" t="s">
        <v>29</v>
      </c>
    </row>
    <row r="25" spans="2:4" x14ac:dyDescent="0.25">
      <c r="B25" s="26" t="s">
        <v>30</v>
      </c>
    </row>
    <row r="26" spans="2:4" x14ac:dyDescent="0.25">
      <c r="B26" s="26" t="s">
        <v>31</v>
      </c>
      <c r="D26" s="11"/>
    </row>
    <row r="27" spans="2:4" x14ac:dyDescent="0.25">
      <c r="D27" s="11"/>
    </row>
    <row r="28" spans="2:4" x14ac:dyDescent="0.25">
      <c r="D28" s="11"/>
    </row>
    <row r="29" spans="2:4" x14ac:dyDescent="0.25">
      <c r="B29" s="29" t="s">
        <v>4</v>
      </c>
      <c r="D29" s="11"/>
    </row>
    <row r="30" spans="2:4" x14ac:dyDescent="0.25">
      <c r="B30" s="26">
        <v>1</v>
      </c>
      <c r="D30" s="11"/>
    </row>
    <row r="31" spans="2:4" x14ac:dyDescent="0.25">
      <c r="B31" s="26">
        <v>2</v>
      </c>
      <c r="D31" s="11"/>
    </row>
    <row r="32" spans="2:4" x14ac:dyDescent="0.25">
      <c r="B32" s="26">
        <v>3</v>
      </c>
      <c r="D32" s="11"/>
    </row>
    <row r="33" spans="2:5" x14ac:dyDescent="0.25">
      <c r="B33" s="26" t="s">
        <v>83</v>
      </c>
      <c r="D33" s="11"/>
    </row>
    <row r="34" spans="2:5" x14ac:dyDescent="0.25">
      <c r="D34" s="11"/>
    </row>
    <row r="36" spans="2:5" x14ac:dyDescent="0.25">
      <c r="B36" s="29" t="s">
        <v>3</v>
      </c>
    </row>
    <row r="37" spans="2:5" x14ac:dyDescent="0.25">
      <c r="B37" s="26" t="s">
        <v>36</v>
      </c>
    </row>
    <row r="38" spans="2:5" x14ac:dyDescent="0.25">
      <c r="B38" s="26" t="s">
        <v>37</v>
      </c>
    </row>
    <row r="39" spans="2:5" x14ac:dyDescent="0.25">
      <c r="B39" s="26" t="s">
        <v>38</v>
      </c>
    </row>
    <row r="40" spans="2:5" x14ac:dyDescent="0.25">
      <c r="B40" s="18"/>
    </row>
    <row r="41" spans="2:5" x14ac:dyDescent="0.25">
      <c r="B41" s="13"/>
      <c r="C41" s="13"/>
      <c r="D41" s="13"/>
    </row>
    <row r="42" spans="2:5" x14ac:dyDescent="0.25">
      <c r="B42" s="51" t="s">
        <v>2</v>
      </c>
      <c r="C42" s="41"/>
      <c r="D42" s="42"/>
      <c r="E42" s="30"/>
    </row>
    <row r="43" spans="2:5" s="12" customFormat="1" x14ac:dyDescent="0.25">
      <c r="B43" s="27" t="s">
        <v>2</v>
      </c>
      <c r="C43" s="28" t="s">
        <v>13</v>
      </c>
      <c r="D43" s="28" t="s">
        <v>74</v>
      </c>
    </row>
    <row r="44" spans="2:5" x14ac:dyDescent="0.25">
      <c r="B44" s="25" t="s">
        <v>16</v>
      </c>
      <c r="C44" s="26" t="s">
        <v>17</v>
      </c>
      <c r="D44" s="32">
        <v>0.3</v>
      </c>
    </row>
    <row r="45" spans="2:5" x14ac:dyDescent="0.25">
      <c r="B45" s="25" t="s">
        <v>18</v>
      </c>
      <c r="C45" s="26" t="s">
        <v>75</v>
      </c>
      <c r="D45" s="32">
        <v>0.2</v>
      </c>
    </row>
    <row r="46" spans="2:5" x14ac:dyDescent="0.25">
      <c r="B46" s="25" t="s">
        <v>19</v>
      </c>
      <c r="C46" s="26" t="s">
        <v>20</v>
      </c>
      <c r="D46" s="32">
        <v>0.1</v>
      </c>
    </row>
    <row r="47" spans="2:5" ht="15" customHeight="1" x14ac:dyDescent="0.25">
      <c r="B47" s="25" t="s">
        <v>21</v>
      </c>
      <c r="C47" s="25" t="s">
        <v>22</v>
      </c>
      <c r="D47" s="32">
        <v>0.1</v>
      </c>
    </row>
    <row r="48" spans="2:5" x14ac:dyDescent="0.25">
      <c r="B48" s="25" t="s">
        <v>23</v>
      </c>
      <c r="C48" s="26" t="s">
        <v>24</v>
      </c>
      <c r="D48" s="32">
        <v>0.05</v>
      </c>
    </row>
    <row r="49" spans="2:4" ht="15" customHeight="1" x14ac:dyDescent="0.25">
      <c r="B49" s="25" t="s">
        <v>85</v>
      </c>
      <c r="C49" s="26" t="s">
        <v>76</v>
      </c>
      <c r="D49" s="32">
        <v>0.1</v>
      </c>
    </row>
    <row r="50" spans="2:4" ht="15" customHeight="1" x14ac:dyDescent="0.25">
      <c r="B50" s="25" t="s">
        <v>25</v>
      </c>
      <c r="C50" s="26" t="s">
        <v>84</v>
      </c>
      <c r="D50" s="32">
        <v>0.05</v>
      </c>
    </row>
    <row r="51" spans="2:4" x14ac:dyDescent="0.25">
      <c r="B51" s="25" t="s">
        <v>26</v>
      </c>
      <c r="C51" s="26" t="s">
        <v>27</v>
      </c>
      <c r="D51" s="32">
        <v>0.1</v>
      </c>
    </row>
    <row r="54" spans="2:4" x14ac:dyDescent="0.25">
      <c r="B54" s="29" t="s">
        <v>1</v>
      </c>
    </row>
    <row r="55" spans="2:4" x14ac:dyDescent="0.25">
      <c r="B55" s="26" t="s">
        <v>39</v>
      </c>
    </row>
    <row r="56" spans="2:4" x14ac:dyDescent="0.25">
      <c r="B56" s="26" t="s">
        <v>40</v>
      </c>
    </row>
    <row r="57" spans="2:4" x14ac:dyDescent="0.25">
      <c r="B57" s="26" t="s">
        <v>41</v>
      </c>
    </row>
  </sheetData>
  <mergeCells count="2">
    <mergeCell ref="B42:D4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Data_Generator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桂花 李</dc:creator>
  <cp:lastModifiedBy>桂花 李</cp:lastModifiedBy>
  <dcterms:created xsi:type="dcterms:W3CDTF">2026-07-05T01:39:27Z</dcterms:created>
  <dcterms:modified xsi:type="dcterms:W3CDTF">2026-07-24T21:09:30Z</dcterms:modified>
</cp:coreProperties>
</file>